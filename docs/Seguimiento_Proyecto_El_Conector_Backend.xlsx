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KPIs" sheetId="1" state="visible" r:id="rId1"/>
    <sheet xmlns:r="http://schemas.openxmlformats.org/officeDocument/2006/relationships" name="Seguimiento Backend" sheetId="2" state="visible" r:id="rId2"/>
    <sheet xmlns:r="http://schemas.openxmlformats.org/officeDocument/2006/relationships" name="Estándar Git y Com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&quot; hrs&quot;"/>
    <numFmt numFmtId="166" formatCode="0.0&quot; días&quot;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97D"/>
      <sz val="14"/>
    </font>
    <font>
      <name val="Consolas"/>
      <sz val="9.5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4F8"/>
        <bgColor rgb="00F2F4F8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3" fillId="4" borderId="0" pivotButton="0" quotePrefix="0" xfId="0"/>
    <xf numFmtId="166" fontId="3" fillId="4" borderId="0" pivotButton="0" quotePrefix="0" xfId="0"/>
    <xf numFmtId="0" fontId="5" fillId="5" borderId="2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0" borderId="3" pivotButton="0" quotePrefix="0" xfId="0"/>
    <xf numFmtId="0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5" fillId="2" borderId="0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54" customWidth="1" min="4" max="4"/>
    <col width="54" customWidth="1" min="5" max="5"/>
    <col width="19" customWidth="1" min="6" max="6"/>
  </cols>
  <sheetData>
    <row r="1">
      <c r="A1" s="1" t="inlineStr">
        <is>
          <t>EL CONECTOR - PLAN DE SEGUIMIENTO Y ARQUITECTURA BACKEND</t>
        </is>
      </c>
    </row>
    <row r="2">
      <c r="A2" s="2" t="inlineStr">
        <is>
          <t>Plataforma Competitiva de Lógica Futbolística 1v1 | Panel de Control de Desarrollo</t>
        </is>
      </c>
    </row>
    <row r="3"/>
    <row r="4">
      <c r="A4" s="3" t="inlineStr">
        <is>
          <t>Enfoque del Proyecto:</t>
        </is>
      </c>
      <c r="B4" s="4" t="inlineStr">
        <is>
          <t>Backend REST API, WebSockets 1v1, Motor de Grafos &amp; Anticheat</t>
        </is>
      </c>
    </row>
    <row r="5">
      <c r="A5" s="3" t="inlineStr">
        <is>
          <t>Versión:</t>
        </is>
      </c>
      <c r="B5" s="4" t="inlineStr">
        <is>
          <t>1.0 (MVP Backend Focus)</t>
        </is>
      </c>
    </row>
    <row r="6">
      <c r="A6" s="3" t="inlineStr">
        <is>
          <t>Última Actualización:</t>
        </is>
      </c>
      <c r="B6" s="4" t="inlineStr">
        <is>
          <t>2026-09-21</t>
        </is>
      </c>
    </row>
    <row r="7"/>
    <row r="8">
      <c r="A8" s="5" t="inlineStr">
        <is>
          <t>MÉTRICAS CLAVE DEL PROYECTO</t>
        </is>
      </c>
    </row>
    <row r="9">
      <c r="A9" s="6" t="inlineStr">
        <is>
          <t>Total Tareas</t>
        </is>
      </c>
      <c r="B9" s="6" t="inlineStr">
        <is>
          <t>Completadas</t>
        </is>
      </c>
      <c r="C9" s="6" t="inlineStr">
        <is>
          <t>En Progreso</t>
        </is>
      </c>
      <c r="D9" s="6" t="inlineStr">
        <is>
          <t>Por Hacer</t>
        </is>
      </c>
      <c r="E9" s="6" t="inlineStr">
        <is>
          <t>Bloqueadas</t>
        </is>
      </c>
      <c r="F9" s="6" t="inlineStr">
        <is>
          <t>% Avance General</t>
        </is>
      </c>
    </row>
    <row r="10">
      <c r="A10" s="7">
        <f>COUNTA('Seguimiento Backend'!A5:A24)</f>
        <v/>
      </c>
      <c r="B10" s="7">
        <f>COUNTIF('Seguimiento Backend'!F5:F24, "Completado")</f>
        <v/>
      </c>
      <c r="C10" s="7">
        <f>COUNTIF('Seguimiento Backend'!F5:F24, "En Progreso") + COUNTIF('Seguimiento Backend'!F5:F24, "En Review")</f>
        <v/>
      </c>
      <c r="D10" s="7">
        <f>COUNTIF('Seguimiento Backend'!F5:F24, "Por Hacer")</f>
        <v/>
      </c>
      <c r="E10" s="7">
        <f>COUNTIF('Seguimiento Backend'!F5:F24, "Bloqueado")</f>
        <v/>
      </c>
      <c r="F10" s="8">
        <f>B10/A10</f>
        <v/>
      </c>
    </row>
    <row r="11"/>
    <row r="12">
      <c r="A12" s="5" t="inlineStr">
        <is>
          <t>ESTIMACIÓN DE ESFUERZO (HORAS DE DESARROLLO)</t>
        </is>
      </c>
    </row>
    <row r="13">
      <c r="A13" t="inlineStr">
        <is>
          <t>Total Horas Estimadas:</t>
        </is>
      </c>
      <c r="B13" s="9">
        <f>SUM('Seguimiento Backend'!I5:I24)</f>
        <v/>
      </c>
    </row>
    <row r="14">
      <c r="A14" t="inlineStr">
        <is>
          <t>Días Estimados (8h/día):</t>
        </is>
      </c>
      <c r="B14" s="10">
        <f>B13/8</f>
        <v/>
      </c>
    </row>
    <row r="15"/>
    <row r="16">
      <c r="A16" s="5" t="inlineStr">
        <is>
          <t>DESGLOSE POR MÓDULO BACKEND</t>
        </is>
      </c>
    </row>
    <row r="17">
      <c r="A17" s="11" t="inlineStr">
        <is>
          <t>Módulo / Épica</t>
        </is>
      </c>
      <c r="B17" s="11" t="inlineStr">
        <is>
          <t>Total Tareas</t>
        </is>
      </c>
      <c r="C17" s="11" t="inlineStr">
        <is>
          <t>Horas Estimadas</t>
        </is>
      </c>
      <c r="D17" s="11" t="inlineStr">
        <is>
          <t>% del Esfuerzo</t>
        </is>
      </c>
    </row>
    <row r="18">
      <c r="A18" s="12" t="inlineStr">
        <is>
          <t>1. Configuración &amp; Arquitectura Base</t>
        </is>
      </c>
      <c r="B18" s="13">
        <f>COUNTIF('Seguimiento Backend'!B$5:B$24, "*Configuración &amp; Arquitectura Base*")</f>
        <v/>
      </c>
      <c r="C18" s="14">
        <f>SUMIF('Seguimiento Backend'!B$5:B$24, "*Configuración &amp; Arquitectura Base*", 'Seguimiento Backend'!I$5:I$24)</f>
        <v/>
      </c>
      <c r="D18" s="15">
        <f>C18/B$13</f>
        <v/>
      </c>
    </row>
    <row r="19">
      <c r="A19" s="12" t="inlineStr">
        <is>
          <t>2. Base de Datos &amp; Grafo Relacional</t>
        </is>
      </c>
      <c r="B19" s="13">
        <f>COUNTIF('Seguimiento Backend'!B$5:B$24, "*Base de Datos &amp; Grafo Relacional*")</f>
        <v/>
      </c>
      <c r="C19" s="14">
        <f>SUMIF('Seguimiento Backend'!B$5:B$24, "*Base de Datos &amp; Grafo Relacional*", 'Seguimiento Backend'!I$5:I$24)</f>
        <v/>
      </c>
      <c r="D19" s="15">
        <f>C19/B$13</f>
        <v/>
      </c>
    </row>
    <row r="20">
      <c r="A20" s="12" t="inlineStr">
        <is>
          <t>3. Motor de Lógica Futbolística (Core)</t>
        </is>
      </c>
      <c r="B20" s="13">
        <f>COUNTIF('Seguimiento Backend'!B$5:B$24, "*Motor de Lógica Futbolística (Core)*")</f>
        <v/>
      </c>
      <c r="C20" s="14">
        <f>SUMIF('Seguimiento Backend'!B$5:B$24, "*Motor de Lógica Futbolística (Core)*", 'Seguimiento Backend'!I$5:I$24)</f>
        <v/>
      </c>
      <c r="D20" s="15">
        <f>C20/B$13</f>
        <v/>
      </c>
    </row>
    <row r="21">
      <c r="A21" s="12" t="inlineStr">
        <is>
          <t>4. Autenticación &amp; Usuarios</t>
        </is>
      </c>
      <c r="B21" s="13">
        <f>COUNTIF('Seguimiento Backend'!B$5:B$24, "*Autenticación &amp; Usuarios*")</f>
        <v/>
      </c>
      <c r="C21" s="14">
        <f>SUMIF('Seguimiento Backend'!B$5:B$24, "*Autenticación &amp; Usuarios*", 'Seguimiento Backend'!I$5:I$24)</f>
        <v/>
      </c>
      <c r="D21" s="15">
        <f>C21/B$13</f>
        <v/>
      </c>
    </row>
    <row r="22">
      <c r="A22" s="12" t="inlineStr">
        <is>
          <t>5. Elo Rating &amp; Matchmaking</t>
        </is>
      </c>
      <c r="B22" s="13">
        <f>COUNTIF('Seguimiento Backend'!B$5:B$24, "*Elo Rating &amp; Matchmaking*")</f>
        <v/>
      </c>
      <c r="C22" s="14">
        <f>SUMIF('Seguimiento Backend'!B$5:B$24, "*Elo Rating &amp; Matchmaking*", 'Seguimiento Backend'!I$5:I$24)</f>
        <v/>
      </c>
      <c r="D22" s="15">
        <f>C22/B$13</f>
        <v/>
      </c>
    </row>
    <row r="23">
      <c r="A23" s="12" t="inlineStr">
        <is>
          <t>6. WebSockets &amp; Sincronización 1v1</t>
        </is>
      </c>
      <c r="B23" s="13">
        <f>COUNTIF('Seguimiento Backend'!B$5:B$24, "*WebSockets &amp; Sincronización 1v1*")</f>
        <v/>
      </c>
      <c r="C23" s="14">
        <f>SUMIF('Seguimiento Backend'!B$5:B$24, "*WebSockets &amp; Sincronización 1v1*", 'Seguimiento Backend'!I$5:I$24)</f>
        <v/>
      </c>
      <c r="D23" s="15">
        <f>C23/B$13</f>
        <v/>
      </c>
    </row>
    <row r="24">
      <c r="A24" s="12" t="inlineStr">
        <is>
          <t>7. Anticheat &amp; Seguridad</t>
        </is>
      </c>
      <c r="B24" s="13">
        <f>COUNTIF('Seguimiento Backend'!B$5:B$24, "*Anticheat &amp; Seguridad*")</f>
        <v/>
      </c>
      <c r="C24" s="14">
        <f>SUMIF('Seguimiento Backend'!B$5:B$24, "*Anticheat &amp; Seguridad*", 'Seguimiento Backend'!I$5:I$24)</f>
        <v/>
      </c>
      <c r="D24" s="15">
        <f>C24/B$13</f>
        <v/>
      </c>
    </row>
    <row r="25">
      <c r="A25" s="12" t="inlineStr">
        <is>
          <t>8. Modo Entrenamiento &amp; Admin API</t>
        </is>
      </c>
      <c r="B25" s="13">
        <f>COUNTIF('Seguimiento Backend'!B$5:B$24, "*Modo Entrenamiento &amp; Admin API*")</f>
        <v/>
      </c>
      <c r="C25" s="14">
        <f>SUMIF('Seguimiento Backend'!B$5:B$24, "*Modo Entrenamiento &amp; Admin API*", 'Seguimiento Backend'!I$5:I$24)</f>
        <v/>
      </c>
      <c r="D25" s="15">
        <f>C25/B$13</f>
        <v/>
      </c>
    </row>
    <row r="26">
      <c r="A26" s="16" t="inlineStr">
        <is>
          <t>TOTAL BACKEND MVP</t>
        </is>
      </c>
      <c r="B26" s="17">
        <f>SUM(B18:B25)</f>
        <v/>
      </c>
      <c r="C26" s="18">
        <f>SUM(C18:C25)</f>
        <v/>
      </c>
      <c r="D26" s="19">
        <f>SUM(D18:D25)</f>
        <v/>
      </c>
    </row>
  </sheetData>
  <mergeCells count="3">
    <mergeCell ref="A8:F8"/>
    <mergeCell ref="A12:F12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41" customWidth="1" min="2" max="2"/>
    <col width="48" customWidth="1" min="3" max="3"/>
    <col width="45" customWidth="1" min="4" max="4"/>
    <col width="12" customWidth="1" min="5" max="5"/>
    <col width="12" customWidth="1" min="6" max="6"/>
    <col width="32" customWidth="1" min="7" max="7"/>
    <col width="40" customWidth="1" min="8" max="8"/>
    <col width="13" customWidth="1" min="9" max="9"/>
    <col width="15" customWidth="1" min="10" max="10"/>
    <col width="21" customWidth="1" min="11" max="11"/>
    <col width="15" customWidth="1" min="12" max="12"/>
    <col width="13" customWidth="1" min="13" max="13"/>
    <col width="30" customWidth="1" min="14" max="14"/>
  </cols>
  <sheetData>
    <row r="1">
      <c r="A1" s="1" t="inlineStr">
        <is>
          <t>SEGUIMIENTO DETALLADO DE TAREAS - BACKEND &amp; LÓGICA PRINCIPAL</t>
        </is>
      </c>
    </row>
    <row r="2">
      <c r="A2" s="2" t="inlineStr">
        <is>
          <t>Cada tarea cuenta con su rama de Git asignada, estándar de commit y horas estimadas.</t>
        </is>
      </c>
    </row>
    <row r="3"/>
    <row r="4">
      <c r="A4" s="11" t="inlineStr">
        <is>
          <t>ID</t>
        </is>
      </c>
      <c r="B4" s="11" t="inlineStr">
        <is>
          <t>Módulo / Épica</t>
        </is>
      </c>
      <c r="C4" s="11" t="inlineStr">
        <is>
          <t>Tarea</t>
        </is>
      </c>
      <c r="D4" s="11" t="inlineStr">
        <is>
          <t>Descripción &amp; Criterios de Aceptación</t>
        </is>
      </c>
      <c r="E4" s="11" t="inlineStr">
        <is>
          <t>Prioridad</t>
        </is>
      </c>
      <c r="F4" s="11" t="inlineStr">
        <is>
          <t>Estado</t>
        </is>
      </c>
      <c r="G4" s="11" t="inlineStr">
        <is>
          <t>Rama Git Asignada</t>
        </is>
      </c>
      <c r="H4" s="11" t="inlineStr">
        <is>
          <t>Ejemplo de Commit (Conventional)</t>
        </is>
      </c>
      <c r="I4" s="11" t="inlineStr">
        <is>
          <t>Est. (Hrs)</t>
        </is>
      </c>
      <c r="J4" s="11" t="inlineStr">
        <is>
          <t>Dependencias</t>
        </is>
      </c>
      <c r="K4" s="11" t="inlineStr">
        <is>
          <t>Asignado</t>
        </is>
      </c>
      <c r="L4" s="11" t="inlineStr">
        <is>
          <t>Fecha Inicio</t>
        </is>
      </c>
      <c r="M4" s="11" t="inlineStr">
        <is>
          <t>Fecha Fin</t>
        </is>
      </c>
      <c r="N4" s="11" t="inlineStr">
        <is>
          <t>Notas / Observaciones</t>
        </is>
      </c>
    </row>
    <row r="5">
      <c r="A5" s="20" t="inlineStr">
        <is>
          <t>BE-01</t>
        </is>
      </c>
      <c r="B5" s="12" t="inlineStr">
        <is>
          <t>1. Configuración &amp; Arquitectura Base</t>
        </is>
      </c>
      <c r="C5" s="21" t="inlineStr">
        <is>
          <t>Setup de Entorno Backend</t>
        </is>
      </c>
      <c r="D5" s="21" t="inlineStr">
        <is>
          <t>Inicializar proyecto en Node.js/TypeScript (o Python/FastAPI), Dockerfile, Docker Compose, ESLint, Prettier y estructura de carpetas limpia.</t>
        </is>
      </c>
      <c r="E5" s="20" t="inlineStr">
        <is>
          <t>Alta</t>
        </is>
      </c>
      <c r="F5" s="20" t="inlineStr">
        <is>
          <t>Por Hacer</t>
        </is>
      </c>
      <c r="G5" s="22" t="inlineStr">
        <is>
          <t>feature/be-setup-architecture</t>
        </is>
      </c>
      <c r="H5" s="22" t="inlineStr">
        <is>
          <t>chore(setup): initialize project structure, docker and linting rules</t>
        </is>
      </c>
      <c r="I5" s="23" t="n">
        <v>8</v>
      </c>
      <c r="J5" s="20" t="inlineStr">
        <is>
          <t>Ninguna</t>
        </is>
      </c>
      <c r="K5" s="20" t="inlineStr">
        <is>
          <t>Backend Dev</t>
        </is>
      </c>
      <c r="L5" s="20" t="inlineStr">
        <is>
          <t>2026-09-22</t>
        </is>
      </c>
      <c r="M5" s="20" t="inlineStr">
        <is>
          <t>2026-09-23</t>
        </is>
      </c>
      <c r="N5" s="21" t="inlineStr">
        <is>
          <t>Base del repositorio backend</t>
        </is>
      </c>
    </row>
    <row r="6">
      <c r="A6" s="24" t="inlineStr">
        <is>
          <t>BE-02</t>
        </is>
      </c>
      <c r="B6" s="25" t="inlineStr">
        <is>
          <t>1. Configuración &amp; Arquitectura Base</t>
        </is>
      </c>
      <c r="C6" s="26" t="inlineStr">
        <is>
          <t>Configuración PostgreSQL &amp; ORM</t>
        </is>
      </c>
      <c r="D6" s="26" t="inlineStr">
        <is>
          <t>Configurar conexión a PostgreSQL, ORM (Prisma/TypeORM/SQLAlchemy) y scripts de migración automatizada.</t>
        </is>
      </c>
      <c r="E6" s="24" t="inlineStr">
        <is>
          <t>Alta</t>
        </is>
      </c>
      <c r="F6" s="24" t="inlineStr">
        <is>
          <t>Por Hacer</t>
        </is>
      </c>
      <c r="G6" s="27" t="inlineStr">
        <is>
          <t>feature/be-db-config-postgres</t>
        </is>
      </c>
      <c r="H6" s="27" t="inlineStr">
        <is>
          <t>feat(db): set up postgresql connection, ORM config and migration scripts</t>
        </is>
      </c>
      <c r="I6" s="23" t="n">
        <v>12</v>
      </c>
      <c r="J6" s="24" t="inlineStr">
        <is>
          <t>BE-01</t>
        </is>
      </c>
      <c r="K6" s="24" t="inlineStr">
        <is>
          <t>Backend Dev</t>
        </is>
      </c>
      <c r="L6" s="24" t="inlineStr">
        <is>
          <t>2026-09-23</t>
        </is>
      </c>
      <c r="M6" s="24" t="inlineStr">
        <is>
          <t>2026-09-24</t>
        </is>
      </c>
      <c r="N6" s="26" t="inlineStr">
        <is>
          <t>Base de persistencia de datos</t>
        </is>
      </c>
    </row>
    <row r="7">
      <c r="A7" s="20" t="inlineStr">
        <is>
          <t>BE-03</t>
        </is>
      </c>
      <c r="B7" s="12" t="inlineStr">
        <is>
          <t>2. Base de Datos &amp; Grafo Relacional</t>
        </is>
      </c>
      <c r="C7" s="21" t="inlineStr">
        <is>
          <t>Esquema de Grafo Futbolístico</t>
        </is>
      </c>
      <c r="D7" s="21" t="inlineStr">
        <is>
          <t>Diseñar e implementar tablas de Entidades (Jugadores, Clubes, Entrenadores, Torneos) y Relaciones (Compañeros, Traspasos, Dirigidos).</t>
        </is>
      </c>
      <c r="E7" s="20" t="inlineStr">
        <is>
          <t>Alta</t>
        </is>
      </c>
      <c r="F7" s="20" t="inlineStr">
        <is>
          <t>Por Hacer</t>
        </is>
      </c>
      <c r="G7" s="22" t="inlineStr">
        <is>
          <t>feature/be-db-schema-graph</t>
        </is>
      </c>
      <c r="H7" s="22" t="inlineStr">
        <is>
          <t>feat(db): define relational graph models for football entities and links</t>
        </is>
      </c>
      <c r="I7" s="23" t="n">
        <v>16</v>
      </c>
      <c r="J7" s="20" t="inlineStr">
        <is>
          <t>BE-02</t>
        </is>
      </c>
      <c r="K7" s="20" t="inlineStr">
        <is>
          <t>DBA / BE Dev</t>
        </is>
      </c>
      <c r="L7" s="20" t="inlineStr">
        <is>
          <t>2026-09-25</t>
        </is>
      </c>
      <c r="M7" s="20" t="inlineStr">
        <is>
          <t>2026-09-27</t>
        </is>
      </c>
      <c r="N7" s="21" t="inlineStr">
        <is>
          <t>Modelo relacional estructurado para grafos</t>
        </is>
      </c>
    </row>
    <row r="8">
      <c r="A8" s="24" t="inlineStr">
        <is>
          <t>BE-04</t>
        </is>
      </c>
      <c r="B8" s="25" t="inlineStr">
        <is>
          <t>2. Base de Datos &amp; Grafo Relacional</t>
        </is>
      </c>
      <c r="C8" s="26" t="inlineStr">
        <is>
          <t>Seeders de Nodos y Relaciones</t>
        </is>
      </c>
      <c r="D8" s="26" t="inlineStr">
        <is>
          <t>Crear scripts de carga masiva de datos (seeders) con jugadores, clubes emblemáticos y sus interconexiones de prueba.</t>
        </is>
      </c>
      <c r="E8" s="24" t="inlineStr">
        <is>
          <t>Media</t>
        </is>
      </c>
      <c r="F8" s="24" t="inlineStr">
        <is>
          <t>Por Hacer</t>
        </is>
      </c>
      <c r="G8" s="27" t="inlineStr">
        <is>
          <t>feature/be-db-seeders-graph</t>
        </is>
      </c>
      <c r="H8" s="27" t="inlineStr">
        <is>
          <t>feat(db): add seeders for initial football graph nodes and connections</t>
        </is>
      </c>
      <c r="I8" s="23" t="n">
        <v>12</v>
      </c>
      <c r="J8" s="24" t="inlineStr">
        <is>
          <t>BE-03</t>
        </is>
      </c>
      <c r="K8" s="24" t="inlineStr">
        <is>
          <t>DBA / BE Dev</t>
        </is>
      </c>
      <c r="L8" s="24" t="inlineStr">
        <is>
          <t>2026-09-28</t>
        </is>
      </c>
      <c r="M8" s="24" t="inlineStr">
        <is>
          <t>2026-09-29</t>
        </is>
      </c>
      <c r="N8" s="26" t="inlineStr">
        <is>
          <t>Datos iniciales para pruebas del Core Loop</t>
        </is>
      </c>
    </row>
    <row r="9">
      <c r="A9" s="20" t="inlineStr">
        <is>
          <t>BE-05</t>
        </is>
      </c>
      <c r="B9" s="12" t="inlineStr">
        <is>
          <t>2. Base de Datos &amp; Grafo Relacional</t>
        </is>
      </c>
      <c r="C9" s="21" t="inlineStr">
        <is>
          <t>API CRUD para Entidades del Grafo</t>
        </is>
      </c>
      <c r="D9" s="21" t="inlineStr">
        <is>
          <t>Desarrollar servicios y endpoints para consultar, insertar y actualizar nodos futbolísticos y sus relaciones.</t>
        </is>
      </c>
      <c r="E9" s="20" t="inlineStr">
        <is>
          <t>Media</t>
        </is>
      </c>
      <c r="F9" s="20" t="inlineStr">
        <is>
          <t>Por Hacer</t>
        </is>
      </c>
      <c r="G9" s="22" t="inlineStr">
        <is>
          <t>feature/be-api-graph-crud</t>
        </is>
      </c>
      <c r="H9" s="22" t="inlineStr">
        <is>
          <t>feat(graph): build CRUD API endpoints for managing football entities</t>
        </is>
      </c>
      <c r="I9" s="23" t="n">
        <v>14</v>
      </c>
      <c r="J9" s="20" t="inlineStr">
        <is>
          <t>BE-03</t>
        </is>
      </c>
      <c r="K9" s="20" t="inlineStr">
        <is>
          <t>Backend Dev</t>
        </is>
      </c>
      <c r="L9" s="20" t="inlineStr">
        <is>
          <t>2026-09-30</t>
        </is>
      </c>
      <c r="M9" s="20" t="inlineStr">
        <is>
          <t>2026-10-01</t>
        </is>
      </c>
      <c r="N9" s="21" t="inlineStr">
        <is>
          <t>Interconexión con panel admin</t>
        </is>
      </c>
    </row>
    <row r="10">
      <c r="A10" s="24" t="inlineStr">
        <is>
          <t>BE-06</t>
        </is>
      </c>
      <c r="B10" s="25" t="inlineStr">
        <is>
          <t>3. Motor de Lógica Futbolística (Core)</t>
        </is>
      </c>
      <c r="C10" s="26" t="inlineStr">
        <is>
          <t>Algoritmo Pathfinder (BFS/Shortest Path)</t>
        </is>
      </c>
      <c r="D10" s="26" t="inlineStr">
        <is>
          <t>Implementar algoritmo en servidor para calcular la ruta más corta entre dos entidades futbolísticas cualesquiera en el grafo.</t>
        </is>
      </c>
      <c r="E10" s="24" t="inlineStr">
        <is>
          <t>Alta</t>
        </is>
      </c>
      <c r="F10" s="24" t="inlineStr">
        <is>
          <t>Por Hacer</t>
        </is>
      </c>
      <c r="G10" s="27" t="inlineStr">
        <is>
          <t>feature/be-core-pathfinder-algo</t>
        </is>
      </c>
      <c r="H10" s="27" t="inlineStr">
        <is>
          <t>feat(graph): implement BFS algorithm for finding shortest paths between nodes</t>
        </is>
      </c>
      <c r="I10" s="23" t="n">
        <v>20</v>
      </c>
      <c r="J10" s="24" t="inlineStr">
        <is>
          <t>BE-03, BE-04</t>
        </is>
      </c>
      <c r="K10" s="24" t="inlineStr">
        <is>
          <t>Lead BE / Algo Dev</t>
        </is>
      </c>
      <c r="L10" s="24" t="inlineStr">
        <is>
          <t>2026-10-02</t>
        </is>
      </c>
      <c r="M10" s="24" t="inlineStr">
        <is>
          <t>2026-10-04</t>
        </is>
      </c>
      <c r="N10" s="26" t="inlineStr">
        <is>
          <t>Núcleo del enigma de asociación</t>
        </is>
      </c>
    </row>
    <row r="11">
      <c r="A11" s="20" t="inlineStr">
        <is>
          <t>BE-07</t>
        </is>
      </c>
      <c r="B11" s="12" t="inlineStr">
        <is>
          <t>3. Motor de Lógica Futbolística (Core)</t>
        </is>
      </c>
      <c r="C11" s="21" t="inlineStr">
        <is>
          <t>Validador de Conexiones Paso a Paso</t>
        </is>
      </c>
      <c r="D11" s="21" t="inlineStr">
        <is>
          <t>Servidor valida con autoridad si la entidad B seleccionada es un conector válido (compañero/entrenador/traspaso) del nodo A.</t>
        </is>
      </c>
      <c r="E11" s="20" t="inlineStr">
        <is>
          <t>Alta</t>
        </is>
      </c>
      <c r="F11" s="20" t="inlineStr">
        <is>
          <t>Por Hacer</t>
        </is>
      </c>
      <c r="G11" s="22" t="inlineStr">
        <is>
          <t>feature/be-core-node-validator</t>
        </is>
      </c>
      <c r="H11" s="22" t="inlineStr">
        <is>
          <t>feat(gameplay): validate step-by-step entity connection authority on server</t>
        </is>
      </c>
      <c r="I11" s="23" t="n">
        <v>16</v>
      </c>
      <c r="J11" s="20" t="inlineStr">
        <is>
          <t>BE-06</t>
        </is>
      </c>
      <c r="K11" s="20" t="inlineStr">
        <is>
          <t>Backend Dev</t>
        </is>
      </c>
      <c r="L11" s="20" t="inlineStr">
        <is>
          <t>2026-10-05</t>
        </is>
      </c>
      <c r="M11" s="20" t="inlineStr">
        <is>
          <t>2026-10-06</t>
        </is>
      </c>
      <c r="N11" s="21" t="inlineStr">
        <is>
          <t>Garantiza lógica libre de manipulaciones</t>
        </is>
      </c>
    </row>
    <row r="12">
      <c r="A12" s="24" t="inlineStr">
        <is>
          <t>BE-08</t>
        </is>
      </c>
      <c r="B12" s="25" t="inlineStr">
        <is>
          <t>3. Motor de Lógica Futbolística (Core)</t>
        </is>
      </c>
      <c r="C12" s="26" t="inlineStr">
        <is>
          <t>Generador Dinámico de Enigmas</t>
        </is>
      </c>
      <c r="D12" s="26" t="inlineStr">
        <is>
          <t>Algoritmo que selecciona pares de nodos origen/destino balanceados (distancia óptima de 3-5 pasos) sin patrones repetitivos.</t>
        </is>
      </c>
      <c r="E12" s="24" t="inlineStr">
        <is>
          <t>Alta</t>
        </is>
      </c>
      <c r="F12" s="24" t="inlineStr">
        <is>
          <t>Por Hacer</t>
        </is>
      </c>
      <c r="G12" s="27" t="inlineStr">
        <is>
          <t>feature/be-core-puzzle-generator</t>
        </is>
      </c>
      <c r="H12" s="27" t="inlineStr">
        <is>
          <t>feat(gameplay): implement dynamic match puzzle pair generator</t>
        </is>
      </c>
      <c r="I12" s="23" t="n">
        <v>14</v>
      </c>
      <c r="J12" s="24" t="inlineStr">
        <is>
          <t>BE-06</t>
        </is>
      </c>
      <c r="K12" s="24" t="inlineStr">
        <is>
          <t>Backend Dev</t>
        </is>
      </c>
      <c r="L12" s="24" t="inlineStr">
        <is>
          <t>2026-10-07</t>
        </is>
      </c>
      <c r="M12" s="24" t="inlineStr">
        <is>
          <t>2026-10-08</t>
        </is>
      </c>
      <c r="N12" s="26" t="inlineStr">
        <is>
          <t>Genera el enigma dinámico de cada ronda</t>
        </is>
      </c>
    </row>
    <row r="13">
      <c r="A13" s="20" t="inlineStr">
        <is>
          <t>BE-09</t>
        </is>
      </c>
      <c r="B13" s="12" t="inlineStr">
        <is>
          <t>4. Autenticación &amp; Usuarios</t>
        </is>
      </c>
      <c r="C13" s="21" t="inlineStr">
        <is>
          <t>Auth REST API (JWT &amp; Hashing)</t>
        </is>
      </c>
      <c r="D13" s="21" t="inlineStr">
        <is>
          <t>Endpoints de registro, login, refresh token, hashing de contraseñas con bcrypt y middleware de autenticación.</t>
        </is>
      </c>
      <c r="E13" s="20" t="inlineStr">
        <is>
          <t>Alta</t>
        </is>
      </c>
      <c r="F13" s="20" t="inlineStr">
        <is>
          <t>Por Hacer</t>
        </is>
      </c>
      <c r="G13" s="22" t="inlineStr">
        <is>
          <t>feature/be-auth-jwt</t>
        </is>
      </c>
      <c r="H13" s="22" t="inlineStr">
        <is>
          <t>feat(auth): implement registration, JWT authentication and security middleware</t>
        </is>
      </c>
      <c r="I13" s="23" t="n">
        <v>12</v>
      </c>
      <c r="J13" s="20" t="inlineStr">
        <is>
          <t>BE-02</t>
        </is>
      </c>
      <c r="K13" s="20" t="inlineStr">
        <is>
          <t>Backend Dev</t>
        </is>
      </c>
      <c r="L13" s="20" t="inlineStr">
        <is>
          <t>2026-10-09</t>
        </is>
      </c>
      <c r="M13" s="20" t="inlineStr">
        <is>
          <t>2026-10-10</t>
        </is>
      </c>
      <c r="N13" s="21" t="inlineStr">
        <is>
          <t>Seguridad de usuarios</t>
        </is>
      </c>
    </row>
    <row r="14">
      <c r="A14" s="24" t="inlineStr">
        <is>
          <t>BE-10</t>
        </is>
      </c>
      <c r="B14" s="25" t="inlineStr">
        <is>
          <t>4. Autenticación &amp; Usuarios</t>
        </is>
      </c>
      <c r="C14" s="26" t="inlineStr">
        <is>
          <t>API de Perfil &amp; Histórico de Stats</t>
        </is>
      </c>
      <c r="D14" s="26" t="inlineStr">
        <is>
          <t>Endpoints para consultar perfil público, rating Elo actual, partidas jugadas, victorias, % éxito y gráfico de evolución.</t>
        </is>
      </c>
      <c r="E14" s="24" t="inlineStr">
        <is>
          <t>Media</t>
        </is>
      </c>
      <c r="F14" s="24" t="inlineStr">
        <is>
          <t>Por Hacer</t>
        </is>
      </c>
      <c r="G14" s="27" t="inlineStr">
        <is>
          <t>feature/be-user-profile-stats</t>
        </is>
      </c>
      <c r="H14" s="27" t="inlineStr">
        <is>
          <t>feat(user): build profile endpoints with player stats and Elo history</t>
        </is>
      </c>
      <c r="I14" s="23" t="n">
        <v>10</v>
      </c>
      <c r="J14" s="24" t="inlineStr">
        <is>
          <t>BE-09</t>
        </is>
      </c>
      <c r="K14" s="24" t="inlineStr">
        <is>
          <t>Backend Dev</t>
        </is>
      </c>
      <c r="L14" s="24" t="inlineStr">
        <is>
          <t>2026-10-11</t>
        </is>
      </c>
      <c r="M14" s="24" t="inlineStr">
        <is>
          <t>2026-10-12</t>
        </is>
      </c>
      <c r="N14" s="26" t="inlineStr">
        <is>
          <t>Métricas del jugador</t>
        </is>
      </c>
    </row>
    <row r="15">
      <c r="A15" s="20" t="inlineStr">
        <is>
          <t>BE-11</t>
        </is>
      </c>
      <c r="B15" s="12" t="inlineStr">
        <is>
          <t>5. Elo Rating &amp; Matchmaking</t>
        </is>
      </c>
      <c r="C15" s="21" t="inlineStr">
        <is>
          <t>Motor de Cálculo de Rating Elo</t>
        </is>
      </c>
      <c r="D15" s="21" t="inlineStr">
        <is>
          <t>Servicio de cálculo matemático de variación de Elo post-partida basado en expectativa y resultado final.</t>
        </is>
      </c>
      <c r="E15" s="20" t="inlineStr">
        <is>
          <t>Alta</t>
        </is>
      </c>
      <c r="F15" s="20" t="inlineStr">
        <is>
          <t>Por Hacer</t>
        </is>
      </c>
      <c r="G15" s="22" t="inlineStr">
        <is>
          <t>feature/be-elo-calculation-engine</t>
        </is>
      </c>
      <c r="H15" s="22" t="inlineStr">
        <is>
          <t>feat(elo): implement Elo rating adjustment engine for match outcomes</t>
        </is>
      </c>
      <c r="I15" s="23" t="n">
        <v>12</v>
      </c>
      <c r="J15" s="20" t="inlineStr">
        <is>
          <t>BE-09</t>
        </is>
      </c>
      <c r="K15" s="20" t="inlineStr">
        <is>
          <t>Backend Dev</t>
        </is>
      </c>
      <c r="L15" s="20" t="inlineStr">
        <is>
          <t>2026-10-13</t>
        </is>
      </c>
      <c r="M15" s="20" t="inlineStr">
        <is>
          <t>2026-10-14</t>
        </is>
      </c>
      <c r="N15" s="21" t="inlineStr">
        <is>
          <t>Actualización inmediata del rating público</t>
        </is>
      </c>
    </row>
    <row r="16">
      <c r="A16" s="24" t="inlineStr">
        <is>
          <t>BE-12</t>
        </is>
      </c>
      <c r="B16" s="25" t="inlineStr">
        <is>
          <t>5. Elo Rating &amp; Matchmaking</t>
        </is>
      </c>
      <c r="C16" s="26" t="inlineStr">
        <is>
          <t>Sistema de Colas &amp; Matchmaking 1v1</t>
        </is>
      </c>
      <c r="D16" s="26" t="inlineStr">
        <is>
          <t>Lógica de emparejamiento por rangos de Elo con ventanas de tolerancia expandibles según tiempo de espera.</t>
        </is>
      </c>
      <c r="E16" s="24" t="inlineStr">
        <is>
          <t>Alta</t>
        </is>
      </c>
      <c r="F16" s="24" t="inlineStr">
        <is>
          <t>Por Hacer</t>
        </is>
      </c>
      <c r="G16" s="27" t="inlineStr">
        <is>
          <t>feature/be-matchmaking-queue</t>
        </is>
      </c>
      <c r="H16" s="27" t="inlineStr">
        <is>
          <t>feat(matchmaking): create matchmaking queue with Elo range expansion</t>
        </is>
      </c>
      <c r="I16" s="23" t="n">
        <v>18</v>
      </c>
      <c r="J16" s="24" t="inlineStr">
        <is>
          <t>BE-11</t>
        </is>
      </c>
      <c r="K16" s="24" t="inlineStr">
        <is>
          <t>Backend Dev</t>
        </is>
      </c>
      <c r="L16" s="24" t="inlineStr">
        <is>
          <t>2026-10-15</t>
        </is>
      </c>
      <c r="M16" s="24" t="inlineStr">
        <is>
          <t>2026-10-17</t>
        </is>
      </c>
      <c r="N16" s="26" t="inlineStr">
        <is>
          <t>Garantiza liquidez y rivales justos</t>
        </is>
      </c>
    </row>
    <row r="17">
      <c r="A17" s="20" t="inlineStr">
        <is>
          <t>BE-13</t>
        </is>
      </c>
      <c r="B17" s="12" t="inlineStr">
        <is>
          <t>5. Elo Rating &amp; Matchmaking</t>
        </is>
      </c>
      <c r="C17" s="21" t="inlineStr">
        <is>
          <t>Leaderboard Public API con Cache</t>
        </is>
      </c>
      <c r="D17" s="21" t="inlineStr">
        <is>
          <t>Endpoint de Ranking Global de jugadores ordenado por Elo con paginación optimizada y almacenamiento en caché (Redis).</t>
        </is>
      </c>
      <c r="E17" s="20" t="inlineStr">
        <is>
          <t>Media</t>
        </is>
      </c>
      <c r="F17" s="20" t="inlineStr">
        <is>
          <t>Por Hacer</t>
        </is>
      </c>
      <c r="G17" s="22" t="inlineStr">
        <is>
          <t>feature/be-leaderboard-ranking</t>
        </is>
      </c>
      <c r="H17" s="22" t="inlineStr">
        <is>
          <t>feat(leaderboard): build global ranking API with Redis caching layer</t>
        </is>
      </c>
      <c r="I17" s="23" t="n">
        <v>10</v>
      </c>
      <c r="J17" s="20" t="inlineStr">
        <is>
          <t>BE-11</t>
        </is>
      </c>
      <c r="K17" s="20" t="inlineStr">
        <is>
          <t>Backend Dev</t>
        </is>
      </c>
      <c r="L17" s="20" t="inlineStr">
        <is>
          <t>2026-10-18</t>
        </is>
      </c>
      <c r="M17" s="20" t="inlineStr">
        <is>
          <t>2026-10-19</t>
        </is>
      </c>
      <c r="N17" s="21" t="inlineStr">
        <is>
          <t>Tabla de clasificación pública</t>
        </is>
      </c>
    </row>
    <row r="18">
      <c r="A18" s="24" t="inlineStr">
        <is>
          <t>BE-14</t>
        </is>
      </c>
      <c r="B18" s="25" t="inlineStr">
        <is>
          <t>6. WebSockets &amp; Sincronización 1v1</t>
        </is>
      </c>
      <c r="C18" s="26" t="inlineStr">
        <is>
          <t>Gateway WebSocket &amp; Salas de Juego</t>
        </is>
      </c>
      <c r="D18" s="26" t="inlineStr">
        <is>
          <t>Servidor WebSocket para comunicación bidireccional en tiempo real, gestión de reconexión y eventos de sala 1v1.</t>
        </is>
      </c>
      <c r="E18" s="24" t="inlineStr">
        <is>
          <t>Alta</t>
        </is>
      </c>
      <c r="F18" s="24" t="inlineStr">
        <is>
          <t>Por Hacer</t>
        </is>
      </c>
      <c r="G18" s="27" t="inlineStr">
        <is>
          <t>feature/be-ws-game-server</t>
        </is>
      </c>
      <c r="H18" s="27" t="inlineStr">
        <is>
          <t>feat(ws): setup WebSocket gateway for real-time 1v1 match rooms</t>
        </is>
      </c>
      <c r="I18" s="23" t="n">
        <v>20</v>
      </c>
      <c r="J18" s="24" t="inlineStr">
        <is>
          <t>BE-09, BE-12</t>
        </is>
      </c>
      <c r="K18" s="24" t="inlineStr">
        <is>
          <t>Lead BE Dev</t>
        </is>
      </c>
      <c r="L18" s="24" t="inlineStr">
        <is>
          <t>2026-10-20</t>
        </is>
      </c>
      <c r="M18" s="24" t="inlineStr">
        <is>
          <t>2026-10-22</t>
        </is>
      </c>
      <c r="N18" s="26" t="inlineStr">
        <is>
          <t>Infraestructura en tiempo real</t>
        </is>
      </c>
    </row>
    <row r="19">
      <c r="A19" s="20" t="inlineStr">
        <is>
          <t>BE-15</t>
        </is>
      </c>
      <c r="B19" s="12" t="inlineStr">
        <is>
          <t>6. WebSockets &amp; Sincronización 1v1</t>
        </is>
      </c>
      <c r="C19" s="21" t="inlineStr">
        <is>
          <t>Sincronización de Reloj de Ajedrez</t>
        </is>
      </c>
      <c r="D19" s="21" t="inlineStr">
        <is>
          <t>Timer autorizado en servidor para turnos de 10-12 segundos con penalización automática por tiempo transcurrido.</t>
        </is>
      </c>
      <c r="E19" s="20" t="inlineStr">
        <is>
          <t>Alta</t>
        </is>
      </c>
      <c r="F19" s="20" t="inlineStr">
        <is>
          <t>Por Hacer</t>
        </is>
      </c>
      <c r="G19" s="22" t="inlineStr">
        <is>
          <t>feature/be-ws-chess-clock</t>
        </is>
      </c>
      <c r="H19" s="22" t="inlineStr">
        <is>
          <t>feat(ws): implement server-side fast chess clock timer for turns</t>
        </is>
      </c>
      <c r="I19" s="23" t="n">
        <v>16</v>
      </c>
      <c r="J19" s="20" t="inlineStr">
        <is>
          <t>BE-14</t>
        </is>
      </c>
      <c r="K19" s="20" t="inlineStr">
        <is>
          <t>Backend Dev</t>
        </is>
      </c>
      <c r="L19" s="20" t="inlineStr">
        <is>
          <t>2026-10-23</t>
        </is>
      </c>
      <c r="M19" s="20" t="inlineStr">
        <is>
          <t>2026-10-25</t>
        </is>
      </c>
      <c r="N19" s="21" t="inlineStr">
        <is>
          <t>Control estricto de tiempo anti-trampas</t>
        </is>
      </c>
    </row>
    <row r="20">
      <c r="A20" s="24" t="inlineStr">
        <is>
          <t>BE-16</t>
        </is>
      </c>
      <c r="B20" s="25" t="inlineStr">
        <is>
          <t>6. WebSockets &amp; Sincronización 1v1</t>
        </is>
      </c>
      <c r="C20" s="26" t="inlineStr">
        <is>
          <t>Administrador de Estado de Partida</t>
        </is>
      </c>
      <c r="D20" s="26" t="inlineStr">
        <is>
          <t>Gestor de ciclo de vida de partida 1v1 (3 o 5 rondas), acumulador de puntos, detección de ganador y emisión de fin de juego.</t>
        </is>
      </c>
      <c r="E20" s="24" t="inlineStr">
        <is>
          <t>Alta</t>
        </is>
      </c>
      <c r="F20" s="24" t="inlineStr">
        <is>
          <t>Por Hacer</t>
        </is>
      </c>
      <c r="G20" s="27" t="inlineStr">
        <is>
          <t>feature/be-ws-match-state-manager</t>
        </is>
      </c>
      <c r="H20" s="27" t="inlineStr">
        <is>
          <t>feat(ws): manage multi-round state transitions and match winner logic</t>
        </is>
      </c>
      <c r="I20" s="23" t="n">
        <v>18</v>
      </c>
      <c r="J20" s="24" t="inlineStr">
        <is>
          <t>BE-14, BE-15</t>
        </is>
      </c>
      <c r="K20" s="24" t="inlineStr">
        <is>
          <t>Backend Dev</t>
        </is>
      </c>
      <c r="L20" s="24" t="inlineStr">
        <is>
          <t>2026-10-26</t>
        </is>
      </c>
      <c r="M20" s="24" t="inlineStr">
        <is>
          <t>2026-10-28</t>
        </is>
      </c>
      <c r="N20" s="26" t="inlineStr">
        <is>
          <t>Sincronización total de la partida</t>
        </is>
      </c>
    </row>
    <row r="21">
      <c r="A21" s="20" t="inlineStr">
        <is>
          <t>BE-17</t>
        </is>
      </c>
      <c r="B21" s="12" t="inlineStr">
        <is>
          <t>7. Anticheat &amp; Seguridad</t>
        </is>
      </c>
      <c r="C21" s="21" t="inlineStr">
        <is>
          <t>Monitor de Latencia &amp; Detección Anti-IA</t>
        </is>
      </c>
      <c r="D21" s="21" t="inlineStr">
        <is>
          <t>Registro y análisis de tiempos de respuesta por turno para detectar respuestas instantáneas tipo bot o retardos de IA externa.</t>
        </is>
      </c>
      <c r="E21" s="20" t="inlineStr">
        <is>
          <t>Alta</t>
        </is>
      </c>
      <c r="F21" s="20" t="inlineStr">
        <is>
          <t>Por Hacer</t>
        </is>
      </c>
      <c r="G21" s="22" t="inlineStr">
        <is>
          <t>feature/be-anticheat-latency-monitor</t>
        </is>
      </c>
      <c r="H21" s="22" t="inlineStr">
        <is>
          <t>feat(anticheat): add latency monitoring and anomalous response flags</t>
        </is>
      </c>
      <c r="I21" s="23" t="n">
        <v>14</v>
      </c>
      <c r="J21" s="20" t="inlineStr">
        <is>
          <t>BE-15</t>
        </is>
      </c>
      <c r="K21" s="20" t="inlineStr">
        <is>
          <t>Security / BE Dev</t>
        </is>
      </c>
      <c r="L21" s="20" t="inlineStr">
        <is>
          <t>2026-10-29</t>
        </is>
      </c>
      <c r="M21" s="20" t="inlineStr">
        <is>
          <t>2026-10-30</t>
        </is>
      </c>
      <c r="N21" s="21" t="inlineStr">
        <is>
          <t>Protección de integridad del juego</t>
        </is>
      </c>
    </row>
    <row r="22">
      <c r="A22" s="24" t="inlineStr">
        <is>
          <t>BE-18</t>
        </is>
      </c>
      <c r="B22" s="25" t="inlineStr">
        <is>
          <t>7. Anticheat &amp; Seguridad</t>
        </is>
      </c>
      <c r="C22" s="26" t="inlineStr">
        <is>
          <t>Rate Limiting &amp; Sanitización REST/WS</t>
        </is>
      </c>
      <c r="D22" s="26" t="inlineStr">
        <is>
          <t>Implementar middlewares de limitación de tasa de solicitudes, validación estricta de esquemas y protección contra inyecciones.</t>
        </is>
      </c>
      <c r="E22" s="24" t="inlineStr">
        <is>
          <t>Media</t>
        </is>
      </c>
      <c r="F22" s="24" t="inlineStr">
        <is>
          <t>Por Hacer</t>
        </is>
      </c>
      <c r="G22" s="27" t="inlineStr">
        <is>
          <t>feature/be-security-rate-limiter</t>
        </is>
      </c>
      <c r="H22" s="27" t="inlineStr">
        <is>
          <t>feat(security): implement request rate limiting and payload validation</t>
        </is>
      </c>
      <c r="I22" s="23" t="n">
        <v>8</v>
      </c>
      <c r="J22" s="24" t="inlineStr">
        <is>
          <t>BE-09</t>
        </is>
      </c>
      <c r="K22" s="24" t="inlineStr">
        <is>
          <t>Backend Dev</t>
        </is>
      </c>
      <c r="L22" s="24" t="inlineStr">
        <is>
          <t>2026-10-31</t>
        </is>
      </c>
      <c r="M22" s="24" t="inlineStr">
        <is>
          <t>2026-11-01</t>
        </is>
      </c>
      <c r="N22" s="26" t="inlineStr">
        <is>
          <t>Seguridad perimetral API</t>
        </is>
      </c>
    </row>
    <row r="23">
      <c r="A23" s="20" t="inlineStr">
        <is>
          <t>BE-19</t>
        </is>
      </c>
      <c r="B23" s="12" t="inlineStr">
        <is>
          <t>8. Modo Entrenamiento &amp; Admin API</t>
        </is>
      </c>
      <c r="C23" s="21" t="inlineStr">
        <is>
          <t>Controlador Modo Entrenamiento (Sudden Death)</t>
        </is>
      </c>
      <c r="D23" s="21" t="inlineStr">
        <is>
          <t>Lógica individual sin impacto en Elo con tiempo decreciente por nivel y ranking de supervivencia.</t>
        </is>
      </c>
      <c r="E23" s="20" t="inlineStr">
        <is>
          <t>Media</t>
        </is>
      </c>
      <c r="F23" s="20" t="inlineStr">
        <is>
          <t>Por Hacer</t>
        </is>
      </c>
      <c r="G23" s="22" t="inlineStr">
        <is>
          <t>feature/be-mode-training-sudden-death</t>
        </is>
      </c>
      <c r="H23" s="22" t="inlineStr">
        <is>
          <t>feat(training): implement sudden death single-player training mode</t>
        </is>
      </c>
      <c r="I23" s="23" t="n">
        <v>12</v>
      </c>
      <c r="J23" s="20" t="inlineStr">
        <is>
          <t>BE-07, BE-08</t>
        </is>
      </c>
      <c r="K23" s="20" t="inlineStr">
        <is>
          <t>Backend Dev</t>
        </is>
      </c>
      <c r="L23" s="20" t="inlineStr">
        <is>
          <t>2026-11-02</t>
        </is>
      </c>
      <c r="M23" s="20" t="inlineStr">
        <is>
          <t>2026-11-03</t>
        </is>
      </c>
      <c r="N23" s="21" t="inlineStr">
        <is>
          <t>Entrenamiento previo al 1v1</t>
        </is>
      </c>
    </row>
    <row r="24">
      <c r="A24" s="24" t="inlineStr">
        <is>
          <t>BE-20</t>
        </is>
      </c>
      <c r="B24" s="25" t="inlineStr">
        <is>
          <t>8. Modo Entrenamiento &amp; Admin API</t>
        </is>
      </c>
      <c r="C24" s="26" t="inlineStr">
        <is>
          <t>API REST para Panel Administrativo</t>
        </is>
      </c>
      <c r="D24" s="26" t="inlineStr">
        <is>
          <t>Endpoints protegidos para que administradores puedan revisar, agregar o corregir conexiones entre nodos del grafo.</t>
        </is>
      </c>
      <c r="E24" s="24" t="inlineStr">
        <is>
          <t>Media</t>
        </is>
      </c>
      <c r="F24" s="24" t="inlineStr">
        <is>
          <t>Por Hacer</t>
        </is>
      </c>
      <c r="G24" s="27" t="inlineStr">
        <is>
          <t>feature/be-admin-panel-graph-api</t>
        </is>
      </c>
      <c r="H24" s="27" t="inlineStr">
        <is>
          <t>feat(admin): build protected REST endpoints for graph node curation</t>
        </is>
      </c>
      <c r="I24" s="23" t="n">
        <v>12</v>
      </c>
      <c r="J24" s="24" t="inlineStr">
        <is>
          <t>BE-05, BE-09</t>
        </is>
      </c>
      <c r="K24" s="24" t="inlineStr">
        <is>
          <t>Backend Dev</t>
        </is>
      </c>
      <c r="L24" s="24" t="inlineStr">
        <is>
          <t>2026-11-04</t>
        </is>
      </c>
      <c r="M24" s="24" t="inlineStr">
        <is>
          <t>2026-11-05</t>
        </is>
      </c>
      <c r="N24" s="26" t="inlineStr">
        <is>
          <t>Panel de gestión sin modificar código</t>
        </is>
      </c>
    </row>
  </sheetData>
  <conditionalFormatting sqref="F5:F24">
    <cfRule type="cellIs" priority="1" operator="equal" dxfId="0" stopIfTrue="1">
      <formula>"Bloqueado"</formula>
    </cfRule>
    <cfRule type="cellIs" priority="2" operator="equal" dxfId="1" stopIfTrue="1">
      <formula>"En Progreso"</formula>
    </cfRule>
    <cfRule type="cellIs" priority="3" operator="equal" dxfId="2" stopIfTrue="1">
      <formula>"En Review"</formula>
    </cfRule>
    <cfRule type="cellIs" priority="4" operator="equal" dxfId="3" stopIfTrue="1">
      <formula>"Completado"</formula>
    </cfRule>
  </conditionalFormatting>
  <dataValidations count="2">
    <dataValidation sqref="F5:F24" showDropDown="0" showInputMessage="0" showErrorMessage="0" allowBlank="1" type="list">
      <formula1>"Por Hacer,En Progreso,En Review,Completado,Bloqueado"</formula1>
    </dataValidation>
    <dataValidation sqref="E5:E24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7" customWidth="1" min="5" max="5"/>
  </cols>
  <sheetData>
    <row r="1">
      <c r="A1" s="1" t="inlineStr">
        <is>
          <t>ESTÁNDAR DE TRABAJO EN GIT &amp; CONVENTIONAL COMMITS</t>
        </is>
      </c>
    </row>
    <row r="2">
      <c r="A2" s="2" t="inlineStr">
        <is>
          <t>Normas obligatorias para el flujo de trabajo, nombrado de ramas y mensajes de commit.</t>
        </is>
      </c>
    </row>
    <row r="3"/>
    <row r="4">
      <c r="A4" s="28" t="inlineStr">
        <is>
          <t>1. ESTRATEGIA DE RAMAS (GIT FLOW REVOLUCIONADO)</t>
        </is>
      </c>
    </row>
    <row r="5">
      <c r="A5" s="11" t="inlineStr">
        <is>
          <t>Tipo de Rama</t>
        </is>
      </c>
      <c r="B5" s="11" t="inlineStr">
        <is>
          <t>Nomenclatura</t>
        </is>
      </c>
      <c r="C5" s="11" t="inlineStr">
        <is>
          <t>Descripción / Propósito</t>
        </is>
      </c>
      <c r="D5" s="11" t="inlineStr">
        <is>
          <t>Rama Base</t>
        </is>
      </c>
      <c r="E5" s="11" t="inlineStr">
        <is>
          <t>Merge Hacia</t>
        </is>
      </c>
    </row>
    <row r="6">
      <c r="A6" s="20" t="inlineStr">
        <is>
          <t>Producción</t>
        </is>
      </c>
      <c r="B6" s="22" t="inlineStr">
        <is>
          <t>main</t>
        </is>
      </c>
      <c r="C6" s="12" t="inlineStr">
        <is>
          <t>Código estable desplegado en producción.</t>
        </is>
      </c>
      <c r="D6" s="20" t="inlineStr">
        <is>
          <t>-</t>
        </is>
      </c>
      <c r="E6" s="20" t="inlineStr">
        <is>
          <t>-</t>
        </is>
      </c>
    </row>
    <row r="7">
      <c r="A7" s="20" t="inlineStr">
        <is>
          <t>Desarrollo</t>
        </is>
      </c>
      <c r="B7" s="22" t="inlineStr">
        <is>
          <t>develop</t>
        </is>
      </c>
      <c r="C7" s="12" t="inlineStr">
        <is>
          <t>Rama principal de integración de características MVP.</t>
        </is>
      </c>
      <c r="D7" s="20" t="inlineStr">
        <is>
          <t>main</t>
        </is>
      </c>
      <c r="E7" s="20" t="inlineStr">
        <is>
          <t>main</t>
        </is>
      </c>
    </row>
    <row r="8">
      <c r="A8" s="20" t="inlineStr">
        <is>
          <t>Feature</t>
        </is>
      </c>
      <c r="B8" s="22" t="inlineStr">
        <is>
          <t>feature/be-&lt;modulo&gt;-&lt;nombre&gt;</t>
        </is>
      </c>
      <c r="C8" s="12" t="inlineStr">
        <is>
          <t>Desarrollo de una tarea o funcionalidad backend.</t>
        </is>
      </c>
      <c r="D8" s="20" t="inlineStr">
        <is>
          <t>develop</t>
        </is>
      </c>
      <c r="E8" s="20" t="inlineStr">
        <is>
          <t>develop</t>
        </is>
      </c>
    </row>
    <row r="9">
      <c r="A9" s="20" t="inlineStr">
        <is>
          <t>Bugfix</t>
        </is>
      </c>
      <c r="B9" s="22" t="inlineStr">
        <is>
          <t>fix/be-&lt;modulo&gt;-&lt;nombre&gt;</t>
        </is>
      </c>
      <c r="C9" s="12" t="inlineStr">
        <is>
          <t>Corrección de un error encontrado durante pruebas.</t>
        </is>
      </c>
      <c r="D9" s="20" t="inlineStr">
        <is>
          <t>develop</t>
        </is>
      </c>
      <c r="E9" s="20" t="inlineStr">
        <is>
          <t>develop</t>
        </is>
      </c>
    </row>
    <row r="10">
      <c r="A10" s="20" t="inlineStr">
        <is>
          <t>Hotfix</t>
        </is>
      </c>
      <c r="B10" s="22" t="inlineStr">
        <is>
          <t>hotfix/&lt;descripcion&gt;</t>
        </is>
      </c>
      <c r="C10" s="12" t="inlineStr">
        <is>
          <t>Corrección urgente de un error crítico en producción.</t>
        </is>
      </c>
      <c r="D10" s="20" t="inlineStr">
        <is>
          <t>main</t>
        </is>
      </c>
      <c r="E10" s="20" t="inlineStr">
        <is>
          <t>main y develop</t>
        </is>
      </c>
    </row>
    <row r="11"/>
    <row r="12">
      <c r="A12" s="28" t="inlineStr">
        <is>
          <t>2. ESTÁNDAR DE COMMITS (CONVENTIONAL COMMITS v1.0.0)</t>
        </is>
      </c>
    </row>
    <row r="13">
      <c r="A13" s="3" t="inlineStr">
        <is>
          <t>Estructura Genérica:</t>
        </is>
      </c>
      <c r="B13" s="29" t="inlineStr">
        <is>
          <t>&lt;tipo&gt;(&lt;alcance&gt;): &lt;descripción corta en presente o imperativo&gt;</t>
        </is>
      </c>
    </row>
    <row r="14"/>
    <row r="15">
      <c r="A15" s="11" t="inlineStr">
        <is>
          <t>Tipo (Prefix)</t>
        </is>
      </c>
      <c r="B15" s="11" t="inlineStr">
        <is>
          <t>Alcance (Scope)</t>
        </is>
      </c>
      <c r="C15" s="11" t="inlineStr">
        <is>
          <t>Cuándo Usar</t>
        </is>
      </c>
      <c r="D15" s="11" t="inlineStr">
        <is>
          <t>Ejemplo Práctico para El Conector</t>
        </is>
      </c>
    </row>
    <row r="16">
      <c r="A16" s="30" t="inlineStr">
        <is>
          <t>feat</t>
        </is>
      </c>
      <c r="B16" s="22" t="inlineStr">
        <is>
          <t>auth, db, graph, elo, ws</t>
        </is>
      </c>
      <c r="C16" s="12" t="inlineStr">
        <is>
          <t>Nueva funcionalidad agregada al sistema.</t>
        </is>
      </c>
      <c r="D16" s="22" t="inlineStr">
        <is>
          <t>feat(elo): implement rating calculation engine for match result</t>
        </is>
      </c>
    </row>
    <row r="17">
      <c r="A17" s="30" t="inlineStr">
        <is>
          <t>fix</t>
        </is>
      </c>
      <c r="B17" s="22" t="inlineStr">
        <is>
          <t>ws, anticheat, graph, auth</t>
        </is>
      </c>
      <c r="C17" s="12" t="inlineStr">
        <is>
          <t>Corrección de un fallo o bug detectado.</t>
        </is>
      </c>
      <c r="D17" s="22" t="inlineStr">
        <is>
          <t>fix(ws): fix chess clock timer drift on client reconnection</t>
        </is>
      </c>
    </row>
    <row r="18">
      <c r="A18" s="30" t="inlineStr">
        <is>
          <t>refactor</t>
        </is>
      </c>
      <c r="B18" s="22" t="inlineStr">
        <is>
          <t>core, algo, db, services</t>
        </is>
      </c>
      <c r="C18" s="12" t="inlineStr">
        <is>
          <t>Cambio en código que no agrega función ni corrige bug.</t>
        </is>
      </c>
      <c r="D18" s="22" t="inlineStr">
        <is>
          <t>refactor(graph): optimize BFS queue performance for large node graphs</t>
        </is>
      </c>
    </row>
    <row r="19">
      <c r="A19" s="30" t="inlineStr">
        <is>
          <t>chore</t>
        </is>
      </c>
      <c r="B19" s="22" t="inlineStr">
        <is>
          <t>setup, deps, docker, ci</t>
        </is>
      </c>
      <c r="C19" s="12" t="inlineStr">
        <is>
          <t>Tareas de mantenimiento, dependencias o configuración.</t>
        </is>
      </c>
      <c r="D19" s="22" t="inlineStr">
        <is>
          <t>chore(deps): upgrade openpyxl and add Docker script</t>
        </is>
      </c>
    </row>
    <row r="20">
      <c r="A20" s="30" t="inlineStr">
        <is>
          <t>docs</t>
        </is>
      </c>
      <c r="B20" s="22" t="inlineStr">
        <is>
          <t>readme, api, swagger</t>
        </is>
      </c>
      <c r="C20" s="12" t="inlineStr">
        <is>
          <t>Cambios exclusivos en documentación.</t>
        </is>
      </c>
      <c r="D20" s="22" t="inlineStr">
        <is>
          <t>docs(api): add OpenAPI spec for backend auth and leaderboard</t>
        </is>
      </c>
    </row>
    <row r="21">
      <c r="A21" s="30" t="inlineStr">
        <is>
          <t>test</t>
        </is>
      </c>
      <c r="B21" s="22" t="inlineStr">
        <is>
          <t>unit, integration, e2e</t>
        </is>
      </c>
      <c r="C21" s="12" t="inlineStr">
        <is>
          <t>Adición o modificación de pruebas unitarias o de integración.</t>
        </is>
      </c>
      <c r="D21" s="22" t="inlineStr">
        <is>
          <t>test(elo): add unit tests for Elo calculation boundary conditions</t>
        </is>
      </c>
    </row>
  </sheetData>
  <mergeCells count="2">
    <mergeCell ref="A12:E1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2026-09-22T01:14:41Z</dcterms:created>
  <dcterms:modified xmlns:dcterms="http://purl.org/dc/terms/" xmlns:xsi="http://www.w3.org/2001/XMLSchema-instance" xsi:type="dcterms:W3CDTF">2026-09-22T01:14:41Z</dcterms:modified>
</cp:coreProperties>
</file>